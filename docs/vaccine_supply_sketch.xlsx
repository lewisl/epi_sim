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wislevin/code/epi_sim/docs/"/>
    </mc:Choice>
  </mc:AlternateContent>
  <xr:revisionPtr revIDLastSave="0" documentId="8_{6DCF4649-75BB-8947-9368-DBD3DA128A18}" xr6:coauthVersionLast="47" xr6:coauthVersionMax="47" xr10:uidLastSave="{00000000-0000-0000-0000-000000000000}"/>
  <bookViews>
    <workbookView xWindow="11580" yWindow="5480" windowWidth="28040" windowHeight="17180" xr2:uid="{41DF483A-4508-1347-A288-7535AE3583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3" i="1"/>
  <c r="G14" i="1"/>
  <c r="F14" i="1"/>
  <c r="F3" i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4" i="1"/>
  <c r="F4" i="1" s="1"/>
  <c r="B21" i="1"/>
  <c r="C14" i="1"/>
</calcChain>
</file>

<file path=xl/sharedStrings.xml><?xml version="1.0" encoding="utf-8"?>
<sst xmlns="http://schemas.openxmlformats.org/spreadsheetml/2006/main" count="7" uniqueCount="7">
  <si>
    <t>[0.0, .02, .05, .10, .15, .19, .21, .16, .08, .03, .01]</t>
  </si>
  <si>
    <t>y value</t>
  </si>
  <si>
    <t>interval end day</t>
  </si>
  <si>
    <t>interval length</t>
  </si>
  <si>
    <t>interval start day</t>
  </si>
  <si>
    <t>supply</t>
  </si>
  <si>
    <t>interval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</si>
</sst>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0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70" fontId="0" fillId="0" borderId="0" xfId="1" applyNumberFormat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A515-7BDF-034B-BFF9-539108E2C980}">
  <dimension ref="B1:G21"/>
  <sheetViews>
    <sheetView tabSelected="1" workbookViewId="0">
      <selection activeCell="F23" sqref="F23"/>
    </sheetView>
  </sheetViews>
  <sheetFormatPr baseColWidth="10" defaultRowHeight="16" x14ac:dyDescent="0.2"/>
  <cols>
    <col min="4" max="4" width="17.5" customWidth="1"/>
    <col min="5" max="5" width="14.5" customWidth="1"/>
    <col min="6" max="6" width="13.6640625" customWidth="1"/>
    <col min="7" max="7" width="11.5" bestFit="1" customWidth="1"/>
  </cols>
  <sheetData>
    <row r="1" spans="2:7" x14ac:dyDescent="0.2">
      <c r="C1" t="s">
        <v>1</v>
      </c>
      <c r="D1" t="s">
        <v>4</v>
      </c>
      <c r="E1" t="s">
        <v>2</v>
      </c>
      <c r="F1" t="s">
        <v>3</v>
      </c>
      <c r="G1" t="s">
        <v>6</v>
      </c>
    </row>
    <row r="2" spans="2:7" x14ac:dyDescent="0.2">
      <c r="E2">
        <v>1</v>
      </c>
    </row>
    <row r="3" spans="2:7" x14ac:dyDescent="0.2">
      <c r="B3">
        <v>1</v>
      </c>
      <c r="C3">
        <v>0</v>
      </c>
      <c r="D3">
        <v>1</v>
      </c>
      <c r="E3">
        <v>16</v>
      </c>
      <c r="F3">
        <f>E3-D3+1</f>
        <v>16</v>
      </c>
      <c r="G3" s="3">
        <f>C3*$D$16</f>
        <v>0</v>
      </c>
    </row>
    <row r="4" spans="2:7" x14ac:dyDescent="0.2">
      <c r="B4">
        <v>2</v>
      </c>
      <c r="C4">
        <v>0.02</v>
      </c>
      <c r="D4">
        <f>E3+1</f>
        <v>17</v>
      </c>
      <c r="E4">
        <v>32</v>
      </c>
      <c r="F4">
        <f t="shared" ref="F4:F13" si="0">E4-D4+1</f>
        <v>16</v>
      </c>
      <c r="G4" s="3">
        <f t="shared" ref="G4:G13" si="1">C4*$D$16</f>
        <v>2000</v>
      </c>
    </row>
    <row r="5" spans="2:7" x14ac:dyDescent="0.2">
      <c r="B5">
        <v>3</v>
      </c>
      <c r="C5">
        <v>0.05</v>
      </c>
      <c r="D5">
        <f t="shared" ref="D5:D13" si="2">E4+1</f>
        <v>33</v>
      </c>
      <c r="E5">
        <v>48</v>
      </c>
      <c r="F5">
        <f t="shared" si="0"/>
        <v>16</v>
      </c>
      <c r="G5" s="3">
        <f t="shared" si="1"/>
        <v>5000</v>
      </c>
    </row>
    <row r="6" spans="2:7" x14ac:dyDescent="0.2">
      <c r="B6">
        <v>4</v>
      </c>
      <c r="C6">
        <v>0.1</v>
      </c>
      <c r="D6">
        <f t="shared" si="2"/>
        <v>49</v>
      </c>
      <c r="E6">
        <v>64</v>
      </c>
      <c r="F6">
        <f t="shared" si="0"/>
        <v>16</v>
      </c>
      <c r="G6" s="3">
        <f t="shared" si="1"/>
        <v>10000</v>
      </c>
    </row>
    <row r="7" spans="2:7" x14ac:dyDescent="0.2">
      <c r="B7">
        <v>5</v>
      </c>
      <c r="C7">
        <v>0.15</v>
      </c>
      <c r="D7">
        <f t="shared" si="2"/>
        <v>65</v>
      </c>
      <c r="E7">
        <v>80</v>
      </c>
      <c r="F7">
        <f t="shared" si="0"/>
        <v>16</v>
      </c>
      <c r="G7" s="3">
        <f t="shared" si="1"/>
        <v>15000</v>
      </c>
    </row>
    <row r="8" spans="2:7" x14ac:dyDescent="0.2">
      <c r="B8">
        <v>6</v>
      </c>
      <c r="C8">
        <v>0.19</v>
      </c>
      <c r="D8">
        <f t="shared" si="2"/>
        <v>81</v>
      </c>
      <c r="E8">
        <v>96</v>
      </c>
      <c r="F8">
        <f t="shared" si="0"/>
        <v>16</v>
      </c>
      <c r="G8" s="3">
        <f t="shared" si="1"/>
        <v>19000</v>
      </c>
    </row>
    <row r="9" spans="2:7" x14ac:dyDescent="0.2">
      <c r="B9">
        <v>7</v>
      </c>
      <c r="C9">
        <v>0.21</v>
      </c>
      <c r="D9">
        <f t="shared" si="2"/>
        <v>97</v>
      </c>
      <c r="E9">
        <v>112</v>
      </c>
      <c r="F9">
        <f t="shared" si="0"/>
        <v>16</v>
      </c>
      <c r="G9" s="3">
        <f t="shared" si="1"/>
        <v>21000</v>
      </c>
    </row>
    <row r="10" spans="2:7" x14ac:dyDescent="0.2">
      <c r="B10">
        <v>8</v>
      </c>
      <c r="C10">
        <v>0.16</v>
      </c>
      <c r="D10">
        <f t="shared" si="2"/>
        <v>113</v>
      </c>
      <c r="E10">
        <v>128</v>
      </c>
      <c r="F10">
        <f t="shared" si="0"/>
        <v>16</v>
      </c>
      <c r="G10" s="3">
        <f t="shared" si="1"/>
        <v>16000</v>
      </c>
    </row>
    <row r="11" spans="2:7" x14ac:dyDescent="0.2">
      <c r="B11">
        <v>9</v>
      </c>
      <c r="C11">
        <v>0.08</v>
      </c>
      <c r="D11">
        <f t="shared" si="2"/>
        <v>129</v>
      </c>
      <c r="E11">
        <v>144</v>
      </c>
      <c r="F11">
        <f t="shared" si="0"/>
        <v>16</v>
      </c>
      <c r="G11" s="3">
        <f t="shared" si="1"/>
        <v>8000</v>
      </c>
    </row>
    <row r="12" spans="2:7" x14ac:dyDescent="0.2">
      <c r="B12">
        <v>10</v>
      </c>
      <c r="C12">
        <v>0.03</v>
      </c>
      <c r="D12">
        <f t="shared" si="2"/>
        <v>145</v>
      </c>
      <c r="E12">
        <v>160</v>
      </c>
      <c r="F12">
        <f t="shared" si="0"/>
        <v>16</v>
      </c>
      <c r="G12" s="3">
        <f t="shared" si="1"/>
        <v>3000</v>
      </c>
    </row>
    <row r="13" spans="2:7" x14ac:dyDescent="0.2">
      <c r="B13">
        <v>11</v>
      </c>
      <c r="C13">
        <v>0.01</v>
      </c>
      <c r="D13">
        <f t="shared" si="2"/>
        <v>161</v>
      </c>
      <c r="E13">
        <v>180</v>
      </c>
      <c r="F13">
        <f t="shared" si="0"/>
        <v>20</v>
      </c>
      <c r="G13" s="3">
        <f t="shared" si="1"/>
        <v>1000</v>
      </c>
    </row>
    <row r="14" spans="2:7" x14ac:dyDescent="0.2">
      <c r="C14">
        <f>SUM(C3:C13)</f>
        <v>1</v>
      </c>
      <c r="F14">
        <f>SUM(F3:F13)</f>
        <v>180</v>
      </c>
      <c r="G14" s="3">
        <f>SUM(G3:G13)</f>
        <v>100000</v>
      </c>
    </row>
    <row r="16" spans="2:7" x14ac:dyDescent="0.2">
      <c r="C16" t="s">
        <v>5</v>
      </c>
      <c r="D16" s="2">
        <v>100000</v>
      </c>
    </row>
    <row r="19" spans="2:2" ht="17" x14ac:dyDescent="0.25">
      <c r="B19" s="1" t="s">
        <v>0</v>
      </c>
    </row>
    <row r="21" spans="2:2" x14ac:dyDescent="0.2">
      <c r="B21">
        <f>179/11</f>
        <v>16.272727272727273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Levin</dc:creator>
  <cp:lastModifiedBy>Lewis Levin</cp:lastModifiedBy>
  <dcterms:created xsi:type="dcterms:W3CDTF">2026-03-26T20:50:33Z</dcterms:created>
  <dcterms:modified xsi:type="dcterms:W3CDTF">2026-03-26T22:28:34Z</dcterms:modified>
</cp:coreProperties>
</file>