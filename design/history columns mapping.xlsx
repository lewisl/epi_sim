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wislevin/code/epi_sim/design/"/>
    </mc:Choice>
  </mc:AlternateContent>
  <xr:revisionPtr revIDLastSave="0" documentId="13_ncr:1_{422A8F19-41E7-8A45-8D88-0F7BFE7B39E8}" xr6:coauthVersionLast="47" xr6:coauthVersionMax="47" xr10:uidLastSave="{00000000-0000-0000-0000-000000000000}"/>
  <bookViews>
    <workbookView xWindow="380" yWindow="600" windowWidth="28040" windowHeight="16980" xr2:uid="{ABD60753-2E5E-4748-B256-042E93BF85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2" i="1" l="1"/>
  <c r="B21" i="1"/>
  <c r="F16" i="1"/>
  <c r="F13" i="1"/>
  <c r="F10" i="1"/>
  <c r="F11" i="1"/>
  <c r="B11" i="1"/>
  <c r="B10" i="1"/>
  <c r="B9" i="1"/>
  <c r="E10" i="1"/>
  <c r="E11" i="1"/>
  <c r="E9" i="1"/>
  <c r="F9" i="1" s="1"/>
  <c r="D10" i="1"/>
  <c r="D11" i="1"/>
  <c r="D9" i="1"/>
</calcChain>
</file>

<file path=xl/sharedStrings.xml><?xml version="1.0" encoding="utf-8"?>
<sst xmlns="http://schemas.openxmlformats.org/spreadsheetml/2006/main" count="24" uniqueCount="21">
  <si>
    <t>status</t>
  </si>
  <si>
    <t>values</t>
  </si>
  <si>
    <t>phase</t>
  </si>
  <si>
    <t>age</t>
  </si>
  <si>
    <t>ring</t>
  </si>
  <si>
    <t>age values</t>
  </si>
  <si>
    <t>5 agegrps plus total</t>
  </si>
  <si>
    <t>rings</t>
  </si>
  <si>
    <t>from input plus total</t>
  </si>
  <si>
    <t>variant</t>
  </si>
  <si>
    <t>vaccine</t>
  </si>
  <si>
    <t>total not needed as that is equal to status:infectious; none not needed as that is unexposed, recovered or dead</t>
  </si>
  <si>
    <t>input number of vaccinces plus none and total</t>
  </si>
  <si>
    <t>none and total not possible</t>
  </si>
  <si>
    <t>num columns</t>
  </si>
  <si>
    <t>days</t>
  </si>
  <si>
    <t>bytes for int32</t>
  </si>
  <si>
    <t>total bytes</t>
  </si>
  <si>
    <t>column order</t>
  </si>
  <si>
    <t>status per ring</t>
  </si>
  <si>
    <t>status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</si>
</sst>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right"/>
    </xf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D9766-2D35-2148-AF5B-2D351768A5C4}">
  <dimension ref="A1:F22"/>
  <sheetViews>
    <sheetView tabSelected="1" workbookViewId="0">
      <selection activeCell="A23" sqref="A23"/>
    </sheetView>
  </sheetViews>
  <sheetFormatPr baseColWidth="10" defaultRowHeight="16" x14ac:dyDescent="0.2"/>
  <cols>
    <col min="1" max="1" width="17.5" customWidth="1"/>
    <col min="6" max="6" width="19.5" customWidth="1"/>
  </cols>
  <sheetData>
    <row r="1" spans="1:6" x14ac:dyDescent="0.2">
      <c r="A1" t="s">
        <v>5</v>
      </c>
      <c r="B1">
        <v>6</v>
      </c>
      <c r="C1" t="s">
        <v>6</v>
      </c>
    </row>
    <row r="2" spans="1:6" x14ac:dyDescent="0.2">
      <c r="A2" t="s">
        <v>0</v>
      </c>
      <c r="B2">
        <v>4</v>
      </c>
      <c r="C2" t="s">
        <v>13</v>
      </c>
    </row>
    <row r="3" spans="1:6" x14ac:dyDescent="0.2">
      <c r="A3" t="s">
        <v>7</v>
      </c>
      <c r="B3">
        <v>4</v>
      </c>
      <c r="C3" t="s">
        <v>8</v>
      </c>
    </row>
    <row r="4" spans="1:6" x14ac:dyDescent="0.2">
      <c r="A4" t="s">
        <v>9</v>
      </c>
      <c r="B4">
        <v>4</v>
      </c>
      <c r="C4" t="s">
        <v>11</v>
      </c>
    </row>
    <row r="5" spans="1:6" x14ac:dyDescent="0.2">
      <c r="A5" t="s">
        <v>10</v>
      </c>
      <c r="B5">
        <v>5</v>
      </c>
      <c r="C5" t="s">
        <v>12</v>
      </c>
    </row>
    <row r="8" spans="1:6" x14ac:dyDescent="0.2">
      <c r="B8" s="1" t="s">
        <v>1</v>
      </c>
      <c r="C8" s="1" t="s">
        <v>2</v>
      </c>
      <c r="D8" s="1" t="s">
        <v>3</v>
      </c>
      <c r="E8" s="1" t="s">
        <v>4</v>
      </c>
      <c r="F8" s="1" t="s">
        <v>14</v>
      </c>
    </row>
    <row r="9" spans="1:6" x14ac:dyDescent="0.2">
      <c r="A9" t="s">
        <v>0</v>
      </c>
      <c r="B9">
        <f>$B$2</f>
        <v>4</v>
      </c>
      <c r="C9">
        <v>2</v>
      </c>
      <c r="D9">
        <f>$B$1</f>
        <v>6</v>
      </c>
      <c r="E9">
        <f>$B$3</f>
        <v>4</v>
      </c>
      <c r="F9">
        <f>B9*C9*D9*E9</f>
        <v>192</v>
      </c>
    </row>
    <row r="10" spans="1:6" x14ac:dyDescent="0.2">
      <c r="A10" t="s">
        <v>9</v>
      </c>
      <c r="B10">
        <f>$B$4</f>
        <v>4</v>
      </c>
      <c r="C10">
        <v>2</v>
      </c>
      <c r="D10">
        <f t="shared" ref="D10:D11" si="0">$B$1</f>
        <v>6</v>
      </c>
      <c r="E10">
        <f t="shared" ref="E10:E11" si="1">$B$3</f>
        <v>4</v>
      </c>
      <c r="F10">
        <f t="shared" ref="F10:F11" si="2">B10*C10*D10*E10</f>
        <v>192</v>
      </c>
    </row>
    <row r="11" spans="1:6" x14ac:dyDescent="0.2">
      <c r="A11" t="s">
        <v>10</v>
      </c>
      <c r="B11">
        <f>$B$5</f>
        <v>5</v>
      </c>
      <c r="C11">
        <v>2</v>
      </c>
      <c r="D11">
        <f t="shared" si="0"/>
        <v>6</v>
      </c>
      <c r="E11">
        <f t="shared" si="1"/>
        <v>4</v>
      </c>
      <c r="F11">
        <f t="shared" si="2"/>
        <v>240</v>
      </c>
    </row>
    <row r="13" spans="1:6" x14ac:dyDescent="0.2">
      <c r="F13">
        <f>SUM(F9:F11)</f>
        <v>624</v>
      </c>
    </row>
    <row r="14" spans="1:6" x14ac:dyDescent="0.2">
      <c r="A14" t="s">
        <v>15</v>
      </c>
      <c r="F14">
        <v>180</v>
      </c>
    </row>
    <row r="15" spans="1:6" x14ac:dyDescent="0.2">
      <c r="A15" t="s">
        <v>16</v>
      </c>
      <c r="F15">
        <v>4</v>
      </c>
    </row>
    <row r="16" spans="1:6" x14ac:dyDescent="0.2">
      <c r="A16" t="s">
        <v>17</v>
      </c>
      <c r="F16" s="2">
        <f>F13*F14*F15</f>
        <v>449280</v>
      </c>
    </row>
    <row r="20" spans="1:2" x14ac:dyDescent="0.2">
      <c r="A20" t="s">
        <v>18</v>
      </c>
    </row>
    <row r="21" spans="1:2" x14ac:dyDescent="0.2">
      <c r="A21" t="s">
        <v>19</v>
      </c>
      <c r="B21">
        <f>B9*C9*D9</f>
        <v>48</v>
      </c>
    </row>
    <row r="22" spans="1:2" x14ac:dyDescent="0.2">
      <c r="A22" t="s">
        <v>20</v>
      </c>
      <c r="B22">
        <f>B21*B3</f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Lewis Levin</dc:creator>
  <cp:lastModifiedBy>Lewis Levin</cp:lastModifiedBy>
  <dcterms:created xsi:type="dcterms:W3CDTF">2026-08-26T19:09:05Z</dcterms:created>
  <dcterms:modified xsi:type="dcterms:W3CDTF">2026-08-26T20:42:48Z</dcterms:modified>
</cp:coreProperties>
</file>